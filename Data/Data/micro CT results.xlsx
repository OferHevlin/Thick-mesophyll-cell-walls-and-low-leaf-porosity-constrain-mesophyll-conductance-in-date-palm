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595FF55-0A34-456B-BDF6-8DC2BA875E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0" i="1" l="1"/>
  <c r="F5" i="1"/>
  <c r="G6" i="1"/>
  <c r="F6" i="1"/>
  <c r="D6" i="1"/>
  <c r="C6" i="1"/>
  <c r="B6" i="1"/>
  <c r="B12" i="1"/>
  <c r="D12" i="1"/>
  <c r="F12" i="1"/>
  <c r="G12" i="1"/>
  <c r="H12" i="1"/>
  <c r="G5" i="1"/>
  <c r="H5" i="1"/>
  <c r="C5" i="1"/>
  <c r="D5" i="1"/>
  <c r="B5" i="1"/>
  <c r="G10" i="1"/>
  <c r="H10" i="1"/>
  <c r="H6" i="1"/>
  <c r="C12" i="1"/>
  <c r="C10" i="1"/>
  <c r="D10" i="1"/>
  <c r="B10" i="1"/>
</calcChain>
</file>

<file path=xl/sharedStrings.xml><?xml version="1.0" encoding="utf-8"?>
<sst xmlns="http://schemas.openxmlformats.org/spreadsheetml/2006/main" count="16" uniqueCount="16">
  <si>
    <t>A1</t>
  </si>
  <si>
    <t>A2</t>
  </si>
  <si>
    <t>A3</t>
  </si>
  <si>
    <t>D1</t>
  </si>
  <si>
    <t>D2</t>
  </si>
  <si>
    <t>D3</t>
  </si>
  <si>
    <r>
      <t>V</t>
    </r>
    <r>
      <rPr>
        <vertAlign val="subscript"/>
        <sz val="11"/>
        <color theme="1"/>
        <rFont val="Calibri"/>
        <family val="2"/>
        <scheme val="minor"/>
      </rPr>
      <t xml:space="preserve">cells </t>
    </r>
    <r>
      <rPr>
        <sz val="11"/>
        <color theme="1"/>
        <rFont val="Calibri"/>
        <family val="2"/>
        <scheme val="minor"/>
      </rPr>
      <t>(um^3)</t>
    </r>
  </si>
  <si>
    <r>
      <t>V</t>
    </r>
    <r>
      <rPr>
        <vertAlign val="subscript"/>
        <sz val="11"/>
        <color theme="1"/>
        <rFont val="Calibri"/>
        <family val="2"/>
        <scheme val="minor"/>
      </rPr>
      <t>air</t>
    </r>
    <r>
      <rPr>
        <sz val="11"/>
        <color theme="1"/>
        <rFont val="Calibri"/>
        <family val="2"/>
        <scheme val="minor"/>
      </rPr>
      <t xml:space="preserve">  (um^3)</t>
    </r>
  </si>
  <si>
    <r>
      <t>V</t>
    </r>
    <r>
      <rPr>
        <vertAlign val="subscript"/>
        <sz val="11"/>
        <color theme="1"/>
        <rFont val="Calibri"/>
        <family val="2"/>
        <scheme val="minor"/>
      </rPr>
      <t>ox</t>
    </r>
    <r>
      <rPr>
        <sz val="11"/>
        <color theme="1"/>
        <rFont val="Calibri"/>
        <family val="2"/>
        <scheme val="minor"/>
      </rPr>
      <t xml:space="preserve">  (um^3)</t>
    </r>
  </si>
  <si>
    <r>
      <t>S</t>
    </r>
    <r>
      <rPr>
        <vertAlign val="subscript"/>
        <sz val="11"/>
        <color theme="1"/>
        <rFont val="Calibri"/>
        <family val="2"/>
        <scheme val="minor"/>
      </rPr>
      <t>cells</t>
    </r>
    <r>
      <rPr>
        <sz val="11"/>
        <color theme="1"/>
        <rFont val="Calibri"/>
        <family val="2"/>
        <scheme val="minor"/>
      </rPr>
      <t xml:space="preserve">  (um^2)</t>
    </r>
  </si>
  <si>
    <r>
      <t>S</t>
    </r>
    <r>
      <rPr>
        <vertAlign val="subscript"/>
        <sz val="11"/>
        <color theme="1"/>
        <rFont val="Calibri"/>
        <family val="2"/>
        <scheme val="minor"/>
      </rPr>
      <t>air</t>
    </r>
    <r>
      <rPr>
        <sz val="11"/>
        <color theme="1"/>
        <rFont val="Calibri"/>
        <family val="2"/>
        <scheme val="minor"/>
      </rPr>
      <t xml:space="preserve">  (um^2)</t>
    </r>
  </si>
  <si>
    <r>
      <t>S</t>
    </r>
    <r>
      <rPr>
        <vertAlign val="subscript"/>
        <sz val="11"/>
        <color theme="1"/>
        <rFont val="Calibri"/>
        <family val="2"/>
        <scheme val="minor"/>
      </rPr>
      <t>ox</t>
    </r>
    <r>
      <rPr>
        <sz val="11"/>
        <color theme="1"/>
        <rFont val="Calibri"/>
        <family val="2"/>
        <scheme val="minor"/>
      </rPr>
      <t xml:space="preserve">  (um^2)</t>
    </r>
  </si>
  <si>
    <r>
      <t>S</t>
    </r>
    <r>
      <rPr>
        <vertAlign val="subscript"/>
        <sz val="11"/>
        <color theme="1"/>
        <rFont val="Calibri"/>
        <family val="2"/>
        <scheme val="minor"/>
      </rPr>
      <t>air</t>
    </r>
    <r>
      <rPr>
        <sz val="11"/>
        <color theme="1"/>
        <rFont val="Calibri"/>
        <family val="2"/>
        <scheme val="minor"/>
      </rPr>
      <t>/S</t>
    </r>
    <r>
      <rPr>
        <vertAlign val="subscript"/>
        <sz val="11"/>
        <color theme="1"/>
        <rFont val="Calibri"/>
        <family val="2"/>
        <scheme val="minor"/>
      </rPr>
      <t>cells</t>
    </r>
  </si>
  <si>
    <r>
      <t>V</t>
    </r>
    <r>
      <rPr>
        <vertAlign val="subscript"/>
        <sz val="11"/>
        <color theme="1"/>
        <rFont val="Calibri"/>
        <family val="2"/>
        <scheme val="minor"/>
      </rPr>
      <t>air</t>
    </r>
    <r>
      <rPr>
        <sz val="11"/>
        <color theme="1"/>
        <rFont val="Calibri"/>
        <family val="2"/>
        <scheme val="minor"/>
      </rPr>
      <t>/V</t>
    </r>
    <r>
      <rPr>
        <vertAlign val="subscript"/>
        <sz val="11"/>
        <color theme="1"/>
        <rFont val="Calibri"/>
        <family val="2"/>
        <scheme val="minor"/>
      </rPr>
      <t>cells</t>
    </r>
    <r>
      <rPr>
        <sz val="11"/>
        <color theme="1"/>
        <rFont val="Calibri"/>
        <family val="2"/>
        <scheme val="minor"/>
      </rPr>
      <t xml:space="preserve"> (%)</t>
    </r>
  </si>
  <si>
    <r>
      <t>V</t>
    </r>
    <r>
      <rPr>
        <vertAlign val="subscript"/>
        <sz val="11"/>
        <color theme="1"/>
        <rFont val="Calibri"/>
        <family val="2"/>
        <scheme val="minor"/>
      </rPr>
      <t>total</t>
    </r>
    <r>
      <rPr>
        <sz val="11"/>
        <color theme="1"/>
        <rFont val="Calibri"/>
        <family val="2"/>
        <scheme val="minor"/>
      </rPr>
      <t xml:space="preserve"> (um^3)</t>
    </r>
  </si>
  <si>
    <r>
      <t>Thickness</t>
    </r>
    <r>
      <rPr>
        <vertAlign val="subscript"/>
        <sz val="11"/>
        <color theme="1"/>
        <rFont val="Calibri"/>
        <family val="2"/>
        <scheme val="minor"/>
      </rPr>
      <t>avg</t>
    </r>
    <r>
      <rPr>
        <sz val="11"/>
        <color theme="1"/>
        <rFont val="Calibri"/>
        <family val="2"/>
        <scheme val="minor"/>
      </rPr>
      <t xml:space="preserve"> (um)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</si>
</sst>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1" fontId="0" fillId="0" borderId="0" xfId="0" applyNumberFormat="1"/>
    <xf numFmtId="2" fontId="0" fillId="2" borderId="0" xfId="0" applyNumberFormat="1" applyFill="1"/>
    <xf numFmtId="0" fontId="0" fillId="0" borderId="0" xfId="0" applyFill="1"/>
    <xf numFmtId="2" fontId="0" fillId="0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6"/>
  <sheetViews>
    <sheetView tabSelected="1" workbookViewId="0">
      <selection activeCell="M21" sqref="M21"/>
    </sheetView>
  </sheetViews>
  <sheetFormatPr defaultRowHeight="15" x14ac:dyDescent="0.25"/>
  <cols>
    <col min="1" max="1" width="19" customWidth="1"/>
    <col min="6" max="6" width="9" bestFit="1" customWidth="1"/>
  </cols>
  <sheetData>
    <row r="1" spans="1:16" x14ac:dyDescent="0.25">
      <c r="B1" s="1" t="s">
        <v>0</v>
      </c>
      <c r="C1" s="1" t="s">
        <v>1</v>
      </c>
      <c r="D1" s="1" t="s">
        <v>2</v>
      </c>
      <c r="E1" s="1"/>
      <c r="F1" s="1" t="s">
        <v>3</v>
      </c>
      <c r="G1" s="1" t="s">
        <v>4</v>
      </c>
      <c r="H1" s="1" t="s">
        <v>5</v>
      </c>
    </row>
    <row r="2" spans="1:16" ht="18" x14ac:dyDescent="0.35">
      <c r="A2" t="s">
        <v>8</v>
      </c>
      <c r="B2">
        <v>226228.3</v>
      </c>
      <c r="C2">
        <v>212668.5</v>
      </c>
      <c r="D2">
        <v>247324.2</v>
      </c>
      <c r="F2">
        <v>107659.1</v>
      </c>
      <c r="G2">
        <v>318713.5</v>
      </c>
      <c r="H2">
        <v>282634.40000000002</v>
      </c>
    </row>
    <row r="3" spans="1:16" ht="18" x14ac:dyDescent="0.35">
      <c r="A3" t="s">
        <v>7</v>
      </c>
      <c r="B3" s="2">
        <v>14175500</v>
      </c>
      <c r="C3" s="2">
        <v>8038460</v>
      </c>
      <c r="D3" s="2">
        <v>9764000</v>
      </c>
      <c r="F3" s="2">
        <v>31296200</v>
      </c>
      <c r="G3" s="2">
        <v>79130000</v>
      </c>
      <c r="H3" s="2">
        <v>52158100</v>
      </c>
      <c r="J3" s="2"/>
    </row>
    <row r="4" spans="1:16" ht="18" x14ac:dyDescent="0.35">
      <c r="A4" t="s">
        <v>6</v>
      </c>
      <c r="B4" s="2">
        <v>271821000</v>
      </c>
      <c r="C4" s="2">
        <v>143929000</v>
      </c>
      <c r="D4" s="2">
        <v>170301000</v>
      </c>
      <c r="F4" s="2">
        <v>203132000</v>
      </c>
      <c r="G4" s="2">
        <v>455285000</v>
      </c>
      <c r="H4" s="2">
        <v>310888000</v>
      </c>
    </row>
    <row r="5" spans="1:16" ht="18" x14ac:dyDescent="0.35">
      <c r="A5" t="s">
        <v>14</v>
      </c>
      <c r="B5" s="2">
        <f>SUM(B2:B4)</f>
        <v>286222728.30000001</v>
      </c>
      <c r="C5" s="2">
        <f t="shared" ref="C5:D5" si="0">SUM(C2:C4)</f>
        <v>152180128.5</v>
      </c>
      <c r="D5" s="2">
        <f t="shared" si="0"/>
        <v>180312324.19999999</v>
      </c>
      <c r="F5" s="2">
        <f>SUM(F2:F4)</f>
        <v>234535859.09999999</v>
      </c>
      <c r="G5" s="2">
        <f t="shared" ref="G5:H5" si="1">SUM(G2:G4)</f>
        <v>534733713.5</v>
      </c>
      <c r="H5" s="2">
        <f t="shared" si="1"/>
        <v>363328734.39999998</v>
      </c>
    </row>
    <row r="6" spans="1:16" ht="18" x14ac:dyDescent="0.35">
      <c r="A6" t="s">
        <v>13</v>
      </c>
      <c r="B6" s="3">
        <f>(B3/B4)*100</f>
        <v>5.2150128209373081</v>
      </c>
      <c r="C6" s="3">
        <f>(C3/C4)*100</f>
        <v>5.5850176128507805</v>
      </c>
      <c r="D6" s="3">
        <f>(D3/D4)*100</f>
        <v>5.7333779601998813</v>
      </c>
      <c r="F6" s="3">
        <f>(F3/F4)*100</f>
        <v>15.406829056967883</v>
      </c>
      <c r="G6" s="3">
        <f>(G3/G4)*100</f>
        <v>17.380322215754969</v>
      </c>
      <c r="H6" s="3">
        <f t="shared" ref="C6:H6" si="2">H3/H4*100</f>
        <v>16.777135174081984</v>
      </c>
      <c r="J6" s="2"/>
      <c r="K6" s="2"/>
      <c r="L6" s="2"/>
      <c r="M6" s="2"/>
      <c r="N6" s="2"/>
      <c r="O6" s="2"/>
      <c r="P6" s="2"/>
    </row>
    <row r="7" spans="1:16" ht="18" x14ac:dyDescent="0.35">
      <c r="A7" t="s">
        <v>11</v>
      </c>
      <c r="B7">
        <v>182296.1</v>
      </c>
      <c r="C7">
        <v>163662.20000000001</v>
      </c>
      <c r="D7">
        <v>183883.6</v>
      </c>
      <c r="F7">
        <v>103099.5</v>
      </c>
      <c r="G7">
        <v>282827.7</v>
      </c>
      <c r="H7">
        <v>235917.9</v>
      </c>
    </row>
    <row r="8" spans="1:16" ht="18" x14ac:dyDescent="0.35">
      <c r="A8" t="s">
        <v>10</v>
      </c>
      <c r="B8" s="2">
        <v>14764800</v>
      </c>
      <c r="C8" s="2">
        <v>7503310</v>
      </c>
      <c r="D8" s="2">
        <v>10228400</v>
      </c>
      <c r="F8" s="2">
        <v>20791500</v>
      </c>
      <c r="G8" s="2">
        <v>51132600</v>
      </c>
      <c r="H8" s="2">
        <v>35826200</v>
      </c>
    </row>
    <row r="9" spans="1:16" ht="18" x14ac:dyDescent="0.35">
      <c r="A9" t="s">
        <v>9</v>
      </c>
      <c r="B9" s="2">
        <v>46667300</v>
      </c>
      <c r="C9" s="2">
        <v>19927600</v>
      </c>
      <c r="D9" s="2">
        <v>23537700</v>
      </c>
      <c r="F9" s="2">
        <v>23551600</v>
      </c>
      <c r="G9" s="2">
        <v>65538400</v>
      </c>
      <c r="H9" s="2">
        <v>39079100</v>
      </c>
    </row>
    <row r="10" spans="1:16" ht="18" x14ac:dyDescent="0.35">
      <c r="A10" t="s">
        <v>12</v>
      </c>
      <c r="B10" s="3">
        <f>B8/B9*100</f>
        <v>31.638427764194628</v>
      </c>
      <c r="C10" s="3">
        <f t="shared" ref="C10:H10" si="3">C8/C9*100</f>
        <v>37.652853329051169</v>
      </c>
      <c r="D10" s="3">
        <f t="shared" si="3"/>
        <v>43.455392837872857</v>
      </c>
      <c r="F10" s="3">
        <f>F8/F9*100</f>
        <v>88.280626369333717</v>
      </c>
      <c r="G10" s="3">
        <f t="shared" si="3"/>
        <v>78.019298609670045</v>
      </c>
      <c r="H10" s="3">
        <f t="shared" si="3"/>
        <v>91.676113318884006</v>
      </c>
      <c r="J10" s="2"/>
      <c r="K10" s="2"/>
      <c r="L10" s="2"/>
      <c r="M10" s="2"/>
      <c r="N10" s="2"/>
      <c r="O10" s="2"/>
      <c r="P10" s="2"/>
    </row>
    <row r="11" spans="1:16" s="4" customFormat="1" ht="18" x14ac:dyDescent="0.35">
      <c r="B11" s="5"/>
      <c r="C11" s="5"/>
      <c r="D11" s="5"/>
      <c r="F11" s="5"/>
      <c r="G11" s="5"/>
      <c r="H11" s="5"/>
    </row>
    <row r="12" spans="1:16" ht="18" x14ac:dyDescent="0.35">
      <c r="A12" t="s">
        <v>15</v>
      </c>
      <c r="B12" s="6">
        <f>AVERAGE(B14:B17)</f>
        <v>322.40750000000003</v>
      </c>
      <c r="C12" s="6">
        <f>AVERAGE(C14:C17)</f>
        <v>299.72500000000002</v>
      </c>
      <c r="D12" s="6">
        <f t="shared" ref="D12:H12" si="4">AVERAGE(D14:D17)</f>
        <v>285.07499999999999</v>
      </c>
      <c r="E12" s="4"/>
      <c r="F12" s="6">
        <f t="shared" si="4"/>
        <v>342.02499999999998</v>
      </c>
      <c r="G12" s="6">
        <f t="shared" si="4"/>
        <v>390.27</v>
      </c>
      <c r="H12" s="6">
        <f t="shared" si="4"/>
        <v>360.66250000000002</v>
      </c>
    </row>
    <row r="14" spans="1:16" x14ac:dyDescent="0.25">
      <c r="B14">
        <v>328.48</v>
      </c>
      <c r="C14">
        <v>320.8</v>
      </c>
      <c r="D14">
        <v>277.08</v>
      </c>
      <c r="F14">
        <v>316.87</v>
      </c>
      <c r="G14">
        <v>399.59</v>
      </c>
      <c r="H14">
        <v>366.19</v>
      </c>
    </row>
    <row r="15" spans="1:16" x14ac:dyDescent="0.25">
      <c r="B15">
        <v>312.24</v>
      </c>
      <c r="C15">
        <v>301.3</v>
      </c>
      <c r="D15">
        <v>293.52999999999997</v>
      </c>
      <c r="F15">
        <v>339.3</v>
      </c>
      <c r="G15">
        <v>397.24</v>
      </c>
      <c r="H15">
        <v>332.24</v>
      </c>
    </row>
    <row r="16" spans="1:16" x14ac:dyDescent="0.25">
      <c r="B16">
        <v>311.3</v>
      </c>
      <c r="C16">
        <v>289.8</v>
      </c>
      <c r="D16">
        <v>287.23</v>
      </c>
      <c r="F16">
        <v>344.04</v>
      </c>
      <c r="G16">
        <v>369.29</v>
      </c>
      <c r="H16">
        <v>376.77</v>
      </c>
    </row>
    <row r="17" spans="2:8" x14ac:dyDescent="0.25">
      <c r="B17">
        <v>337.61</v>
      </c>
      <c r="C17">
        <v>287</v>
      </c>
      <c r="D17">
        <v>282.45999999999998</v>
      </c>
      <c r="F17">
        <v>367.89</v>
      </c>
      <c r="G17">
        <v>394.96</v>
      </c>
      <c r="H17">
        <v>367.45</v>
      </c>
    </row>
    <row r="25" spans="2:8" x14ac:dyDescent="0.25">
      <c r="C25" s="2"/>
    </row>
    <row r="26" spans="2:8" x14ac:dyDescent="0.25">
      <c r="C26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Xiaomeng Sui</dc:creator>
  <cp:lastModifiedBy>Ofer Hevlin</cp:lastModifiedBy>
  <dcterms:created xsi:type="dcterms:W3CDTF">2015-06-05T18:17:20Z</dcterms:created>
  <dcterms:modified xsi:type="dcterms:W3CDTF">2026-05-20T06:21:57Z</dcterms:modified>
</cp:coreProperties>
</file>