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it-lab\Desktop\עופר\anatomia\A2_bl6_g2_250726\"/>
    </mc:Choice>
  </mc:AlternateContent>
  <xr:revisionPtr revIDLastSave="0" documentId="8_{92AEDCC9-FCD4-4421-A317-18D0408ED9B9}" xr6:coauthVersionLast="47" xr6:coauthVersionMax="47" xr10:uidLastSave="{00000000-0000-0000-0000-000000000000}"/>
  <bookViews>
    <workbookView xWindow="-120" yWindow="990" windowWidth="11580" windowHeight="14490" xr2:uid="{9BE6673A-14FA-400A-850B-6171C94968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E14" i="1" l="1"/>
  <c r="D14" i="1"/>
  <c r="E2" i="1"/>
  <c r="F2" i="1"/>
  <c r="G9" i="1"/>
  <c r="G8" i="1"/>
  <c r="F6" i="1"/>
  <c r="G6" i="1" s="1"/>
  <c r="F7" i="1"/>
  <c r="G7" i="1" s="1"/>
  <c r="F5" i="1"/>
  <c r="G5" i="1" s="1"/>
  <c r="C14" i="1" l="1"/>
  <c r="A14" i="1"/>
  <c r="B14" i="1"/>
  <c r="J5" i="1"/>
  <c r="I5" i="1"/>
  <c r="E12" i="1" s="1"/>
  <c r="D12" i="1"/>
  <c r="F12" i="1" l="1"/>
  <c r="F14" i="1" l="1"/>
  <c r="H14" i="1" s="1"/>
  <c r="G12" i="1"/>
  <c r="B16" i="1" l="1"/>
  <c r="A16" i="1"/>
  <c r="C16" i="1"/>
  <c r="D16" i="1"/>
  <c r="E16" i="1"/>
  <c r="F16" i="1"/>
</calcChain>
</file>

<file path=xl/sharedStrings.xml><?xml version="1.0" encoding="utf-8"?>
<sst xmlns="http://schemas.openxmlformats.org/spreadsheetml/2006/main" count="40" uniqueCount="33">
  <si>
    <t>fias</t>
  </si>
  <si>
    <t>Lias</t>
  </si>
  <si>
    <t>t</t>
  </si>
  <si>
    <t>Da</t>
  </si>
  <si>
    <t>gias</t>
  </si>
  <si>
    <t>Dw</t>
  </si>
  <si>
    <t>Pi</t>
  </si>
  <si>
    <t>Li</t>
  </si>
  <si>
    <t>Sc</t>
  </si>
  <si>
    <t>stroma</t>
  </si>
  <si>
    <t>cyt</t>
  </si>
  <si>
    <t>cell wall</t>
  </si>
  <si>
    <t>r,fi</t>
  </si>
  <si>
    <t>gi</t>
  </si>
  <si>
    <t>ri</t>
  </si>
  <si>
    <t>gliq</t>
  </si>
  <si>
    <t>cloroplast envalope</t>
  </si>
  <si>
    <t>plasma</t>
  </si>
  <si>
    <t>R</t>
  </si>
  <si>
    <t>T</t>
  </si>
  <si>
    <t>H</t>
  </si>
  <si>
    <t>1/gias</t>
  </si>
  <si>
    <t>gm</t>
  </si>
  <si>
    <t>rliq</t>
  </si>
  <si>
    <t>rtotal</t>
  </si>
  <si>
    <t>%</t>
  </si>
  <si>
    <t>RT/Hg</t>
  </si>
  <si>
    <t>rst</t>
  </si>
  <si>
    <t>rcyt</t>
  </si>
  <si>
    <t>RT/H</t>
  </si>
  <si>
    <t>rcw</t>
  </si>
  <si>
    <t>renv</t>
  </si>
  <si>
    <t>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</si>
</sst>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663D1-8FA7-4075-A383-FAD70728519A}">
  <dimension ref="A1:J20"/>
  <sheetViews>
    <sheetView tabSelected="1" workbookViewId="0">
      <selection activeCell="H11" sqref="H11"/>
    </sheetView>
  </sheetViews>
  <sheetFormatPr defaultRowHeight="15" x14ac:dyDescent="0.25"/>
  <cols>
    <col min="1" max="1" width="12" bestFit="1" customWidth="1"/>
    <col min="4" max="4" width="10" bestFit="1" customWidth="1"/>
    <col min="5" max="5" width="1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</row>
    <row r="2" spans="1:10" x14ac:dyDescent="0.25">
      <c r="A2">
        <v>0.13045901216220149</v>
      </c>
      <c r="B2">
        <f>155/1000000</f>
        <v>1.55E-4</v>
      </c>
      <c r="C2">
        <v>1.57</v>
      </c>
      <c r="D2" s="1">
        <v>1.5099999999999999E-5</v>
      </c>
      <c r="E2" s="1">
        <f>(D2*A2)/(B2*C2)</f>
        <v>8.0950527374121332E-3</v>
      </c>
      <c r="F2">
        <f>1/E2</f>
        <v>123.53224030010273</v>
      </c>
    </row>
    <row r="4" spans="1:10" x14ac:dyDescent="0.25">
      <c r="B4" t="s">
        <v>5</v>
      </c>
      <c r="C4" t="s">
        <v>6</v>
      </c>
      <c r="D4" t="s">
        <v>12</v>
      </c>
      <c r="E4" t="s">
        <v>7</v>
      </c>
      <c r="F4" t="s">
        <v>13</v>
      </c>
      <c r="G4" t="s">
        <v>14</v>
      </c>
      <c r="H4" t="s">
        <v>8</v>
      </c>
      <c r="I4" t="s">
        <v>15</v>
      </c>
      <c r="J4" t="s">
        <v>23</v>
      </c>
    </row>
    <row r="5" spans="1:10" x14ac:dyDescent="0.25">
      <c r="A5" s="1" t="s">
        <v>9</v>
      </c>
      <c r="B5" s="1">
        <v>1.79E-9</v>
      </c>
      <c r="C5">
        <v>1</v>
      </c>
      <c r="D5">
        <v>0.3</v>
      </c>
      <c r="E5">
        <v>1.1331875E-6</v>
      </c>
      <c r="F5" s="1">
        <f>B5*C5*D5/E5</f>
        <v>4.7388450719761734E-4</v>
      </c>
      <c r="G5" s="1">
        <f>1/F5</f>
        <v>2110.2188081936683</v>
      </c>
      <c r="H5">
        <v>4.9729105450000004</v>
      </c>
      <c r="I5" s="1">
        <f>H5/J5</f>
        <v>2.7568938937975806E-4</v>
      </c>
      <c r="J5" s="1">
        <f>G5+G6+G7+G8+G9</f>
        <v>18038.091912742748</v>
      </c>
    </row>
    <row r="6" spans="1:10" x14ac:dyDescent="0.25">
      <c r="A6" t="s">
        <v>10</v>
      </c>
      <c r="B6" s="1">
        <v>1.79E-9</v>
      </c>
      <c r="C6">
        <v>1</v>
      </c>
      <c r="D6">
        <v>0.3</v>
      </c>
      <c r="E6">
        <v>3.1962499999999993E-7</v>
      </c>
      <c r="F6" s="1">
        <f>B6*C6*D6/E6</f>
        <v>1.6800938599921787E-3</v>
      </c>
      <c r="G6" s="1">
        <f t="shared" ref="G6:G7" si="0">1/F6</f>
        <v>595.20484171322141</v>
      </c>
    </row>
    <row r="7" spans="1:10" x14ac:dyDescent="0.25">
      <c r="A7" t="s">
        <v>11</v>
      </c>
      <c r="B7" s="1">
        <v>1.79E-9</v>
      </c>
      <c r="C7">
        <v>2.8000000000000001E-2</v>
      </c>
      <c r="D7">
        <v>1</v>
      </c>
      <c r="E7">
        <v>7.3983333333333329E-7</v>
      </c>
      <c r="F7" s="1">
        <f t="shared" ref="F7" si="1">B7*C7*D7/E7</f>
        <v>6.7744987609822042E-5</v>
      </c>
      <c r="G7" s="1">
        <f t="shared" si="0"/>
        <v>14761.239691407287</v>
      </c>
    </row>
    <row r="8" spans="1:10" x14ac:dyDescent="0.25">
      <c r="A8" t="s">
        <v>16</v>
      </c>
      <c r="F8">
        <v>3.5000000000000001E-3</v>
      </c>
      <c r="G8">
        <f>1/F8</f>
        <v>285.71428571428572</v>
      </c>
    </row>
    <row r="9" spans="1:10" x14ac:dyDescent="0.25">
      <c r="A9" t="s">
        <v>17</v>
      </c>
      <c r="F9">
        <v>3.5000000000000001E-3</v>
      </c>
      <c r="G9">
        <f>1/F9</f>
        <v>285.71428571428572</v>
      </c>
    </row>
    <row r="11" spans="1:10" x14ac:dyDescent="0.25">
      <c r="A11" t="s">
        <v>18</v>
      </c>
      <c r="B11" t="s">
        <v>19</v>
      </c>
      <c r="C11" t="s">
        <v>20</v>
      </c>
      <c r="D11" t="s">
        <v>21</v>
      </c>
      <c r="E11" t="s">
        <v>26</v>
      </c>
      <c r="F11" t="s">
        <v>22</v>
      </c>
      <c r="H11" t="s">
        <v>29</v>
      </c>
    </row>
    <row r="12" spans="1:10" x14ac:dyDescent="0.25">
      <c r="A12">
        <v>8.3140000000000001</v>
      </c>
      <c r="B12">
        <v>307.14999999999998</v>
      </c>
      <c r="C12">
        <v>2938</v>
      </c>
      <c r="D12">
        <f>1/E2</f>
        <v>123.53224030010273</v>
      </c>
      <c r="E12" s="1">
        <f>(A12*B12)/(C12*I5)</f>
        <v>3152.7439204151347</v>
      </c>
      <c r="F12" s="1">
        <f>1/(D12+E12)</f>
        <v>3.0522457538551695E-4</v>
      </c>
      <c r="G12" s="1">
        <f>F12*39.65</f>
        <v>1.2102154414035747E-2</v>
      </c>
      <c r="H12">
        <v>0.86899999999999999</v>
      </c>
    </row>
    <row r="13" spans="1:10" x14ac:dyDescent="0.25">
      <c r="A13" t="s">
        <v>27</v>
      </c>
      <c r="B13" t="s">
        <v>28</v>
      </c>
      <c r="C13" t="s">
        <v>30</v>
      </c>
      <c r="D13" t="s">
        <v>31</v>
      </c>
      <c r="E13" t="s">
        <v>31</v>
      </c>
      <c r="F13" t="s">
        <v>32</v>
      </c>
      <c r="H13" t="s">
        <v>24</v>
      </c>
    </row>
    <row r="14" spans="1:10" x14ac:dyDescent="0.25">
      <c r="A14" s="1">
        <f>0.869*1/(F5*H5)</f>
        <v>368.75389728537692</v>
      </c>
      <c r="B14" s="1">
        <f>H12*1/(F6*H5)</f>
        <v>104.01011696637896</v>
      </c>
      <c r="C14" s="1">
        <f>H12*1/(F7*H5)</f>
        <v>2579.4787933055272</v>
      </c>
      <c r="D14">
        <f>H12*1/(F8*H5)</f>
        <v>49.927645397794755</v>
      </c>
      <c r="E14">
        <f>H12*1/(F9*H5)</f>
        <v>49.927645397794755</v>
      </c>
      <c r="F14" s="1">
        <f>F12/E2</f>
        <v>3.77050755920205E-2</v>
      </c>
      <c r="H14" s="1">
        <f>A14+B14+C14+D14+E14+F14</f>
        <v>3152.135803428464</v>
      </c>
    </row>
    <row r="15" spans="1:10" x14ac:dyDescent="0.25">
      <c r="A15" s="1" t="s">
        <v>25</v>
      </c>
      <c r="B15" s="1" t="s">
        <v>25</v>
      </c>
      <c r="C15" s="1" t="s">
        <v>25</v>
      </c>
      <c r="D15" s="1" t="s">
        <v>25</v>
      </c>
      <c r="E15" s="1" t="s">
        <v>25</v>
      </c>
      <c r="F15" s="1" t="s">
        <v>25</v>
      </c>
    </row>
    <row r="16" spans="1:10" x14ac:dyDescent="0.25">
      <c r="A16" s="1">
        <f>(A14/H14)*100</f>
        <v>11.698540934825735</v>
      </c>
      <c r="B16" s="1">
        <f>(B14/H14)*100</f>
        <v>3.299671189713683</v>
      </c>
      <c r="C16" s="1">
        <f>(C14/H14)*100</f>
        <v>81.832730382362385</v>
      </c>
      <c r="D16" s="1">
        <f>(D14/H14)*100</f>
        <v>1.5839306588088706</v>
      </c>
      <c r="E16" s="1">
        <f>(E14/H14)*100</f>
        <v>1.5839306588088706</v>
      </c>
      <c r="F16" s="1">
        <f>(F14/H14)*100</f>
        <v>1.1961754804793009E-3</v>
      </c>
    </row>
    <row r="18" spans="1:5" x14ac:dyDescent="0.25">
      <c r="A18" s="1"/>
      <c r="B18" s="1"/>
      <c r="C18" s="1"/>
      <c r="D18" s="1"/>
      <c r="E18" s="1"/>
    </row>
    <row r="20" spans="1:5" x14ac:dyDescent="0.25">
      <c r="A20" s="1"/>
      <c r="B20" s="1"/>
      <c r="C20" s="1"/>
      <c r="D20" s="1"/>
      <c r="E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Ofer Hevlin</dc:creator>
  <cp:lastModifiedBy>Ofer Hevlin</cp:lastModifiedBy>
  <dcterms:created xsi:type="dcterms:W3CDTF">2026-08-11T07:08:21Z</dcterms:created>
  <dcterms:modified xsi:type="dcterms:W3CDTF">2026-08-26T07:50:31Z</dcterms:modified>
</cp:coreProperties>
</file>