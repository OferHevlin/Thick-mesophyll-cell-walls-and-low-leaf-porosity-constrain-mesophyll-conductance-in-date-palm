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anatomia/A3_2/2/"/>
    </mc:Choice>
  </mc:AlternateContent>
  <xr:revisionPtr revIDLastSave="0" documentId="8_{2B727F89-08D1-5447-8A0E-F585BB2F818C}" xr6:coauthVersionLast="47" xr6:coauthVersionMax="47" xr10:uidLastSave="{00000000-0000-0000-0000-000000000000}"/>
  <bookViews>
    <workbookView xWindow="43840" yWindow="500" windowWidth="18560" windowHeight="2110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E2" i="1"/>
  <c r="B2" i="1"/>
  <c r="G9" i="1"/>
  <c r="G8" i="1"/>
  <c r="F6" i="1"/>
  <c r="F7" i="1"/>
  <c r="F5" i="1"/>
  <c r="B14" i="1" l="1"/>
  <c r="G6" i="1"/>
  <c r="G7" i="1"/>
  <c r="C14" i="1"/>
  <c r="A14" i="1"/>
  <c r="G5" i="1"/>
  <c r="F14" i="1"/>
  <c r="F2" i="1"/>
  <c r="D12" i="1"/>
  <c r="J5" i="1" l="1"/>
  <c r="I5" i="1" s="1"/>
  <c r="E12" i="1" s="1"/>
  <c r="F12" i="1" s="1"/>
  <c r="G12" i="1" s="1"/>
  <c r="H14" i="1"/>
  <c r="F16" i="1" s="1"/>
  <c r="B16" i="1" l="1"/>
  <c r="A16" i="1"/>
  <c r="C16" i="1"/>
  <c r="E16" i="1"/>
  <c r="D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<sst xmlns="http://schemas.openxmlformats.org/spreadsheetml/2006/main" count="40" uniqueCount="33">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</sst>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J22" sqref="J22"/>
    </sheetView>
  </sheetViews>
  <sheetFormatPr baseColWidth="10" defaultColWidth="8.83203125" defaultRowHeight="14" x14ac:dyDescent="0.1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15">
      <c r="A2">
        <v>8.0103701591361154E-2</v>
      </c>
      <c r="B2">
        <f>125/1000000</f>
        <v>1.25E-4</v>
      </c>
      <c r="C2">
        <v>1.57</v>
      </c>
      <c r="D2" s="1">
        <v>1.5099999999999999E-5</v>
      </c>
      <c r="E2" s="1">
        <f>(D2*A2)/(B2*C2)</f>
        <v>6.1633930905964501E-3</v>
      </c>
      <c r="F2">
        <f>1/E2</f>
        <v>162.24829169596694</v>
      </c>
    </row>
    <row r="4" spans="1:10" x14ac:dyDescent="0.1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15">
      <c r="A5" s="1" t="s">
        <v>9</v>
      </c>
      <c r="B5" s="1">
        <v>1.79E-9</v>
      </c>
      <c r="C5">
        <v>1</v>
      </c>
      <c r="D5">
        <v>0.3</v>
      </c>
      <c r="E5">
        <v>1.0435E-6</v>
      </c>
      <c r="F5" s="1">
        <f>B5*C5*D5/E5</f>
        <v>5.1461427886919026E-4</v>
      </c>
      <c r="G5" s="1">
        <f>1/F5</f>
        <v>1943.2029795158285</v>
      </c>
      <c r="H5">
        <v>5.7092510770000002</v>
      </c>
      <c r="I5" s="1">
        <f>H5/J5</f>
        <v>3.6834114986611404E-4</v>
      </c>
      <c r="J5" s="1">
        <f>G5+G6+G7+G8+G9</f>
        <v>15499.900239425378</v>
      </c>
    </row>
    <row r="6" spans="1:10" x14ac:dyDescent="0.15">
      <c r="A6" t="s">
        <v>10</v>
      </c>
      <c r="B6" s="1">
        <v>1.79E-9</v>
      </c>
      <c r="C6">
        <v>1</v>
      </c>
      <c r="D6">
        <v>0.3</v>
      </c>
      <c r="E6">
        <v>1.7487500000000001E-7</v>
      </c>
      <c r="F6" s="1">
        <f>B6*C6*D6/E6</f>
        <v>3.0707648320228735E-3</v>
      </c>
      <c r="G6" s="1">
        <f t="shared" ref="G6:G7" si="0">1/F6</f>
        <v>325.65176908752329</v>
      </c>
    </row>
    <row r="7" spans="1:10" x14ac:dyDescent="0.15">
      <c r="A7" t="s">
        <v>11</v>
      </c>
      <c r="B7" s="1">
        <v>1.79E-9</v>
      </c>
      <c r="C7">
        <v>2.8000000000000001E-2</v>
      </c>
      <c r="D7">
        <v>1</v>
      </c>
      <c r="E7">
        <v>6.3450000000000002E-7</v>
      </c>
      <c r="F7" s="1">
        <f t="shared" ref="F7" si="1">B7*C7*D7/E7</f>
        <v>7.8991331757289205E-5</v>
      </c>
      <c r="G7" s="1">
        <f t="shared" si="0"/>
        <v>12659.616919393455</v>
      </c>
    </row>
    <row r="8" spans="1:10" x14ac:dyDescent="0.15">
      <c r="A8" t="s">
        <v>16</v>
      </c>
      <c r="F8">
        <v>3.5000000000000001E-3</v>
      </c>
      <c r="G8">
        <f>1/F8</f>
        <v>285.71428571428572</v>
      </c>
    </row>
    <row r="9" spans="1:10" x14ac:dyDescent="0.15">
      <c r="A9" t="s">
        <v>17</v>
      </c>
      <c r="F9">
        <v>3.5000000000000001E-3</v>
      </c>
      <c r="G9">
        <f>1/F9</f>
        <v>285.71428571428572</v>
      </c>
    </row>
    <row r="11" spans="1:10" x14ac:dyDescent="0.1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15">
      <c r="A12">
        <v>8.3140000000000001</v>
      </c>
      <c r="B12">
        <v>307.14999999999998</v>
      </c>
      <c r="C12">
        <v>2938</v>
      </c>
      <c r="D12">
        <f>1/E2</f>
        <v>162.24829169596694</v>
      </c>
      <c r="E12" s="1">
        <f>(A12*B12)/(C12*I5)</f>
        <v>2359.7093254607175</v>
      </c>
      <c r="F12" s="1">
        <f>1/(D12+E12)</f>
        <v>3.9651736936302046E-4</v>
      </c>
      <c r="G12" s="1">
        <f>F12*39.65</f>
        <v>1.5721913695243759E-2</v>
      </c>
      <c r="H12">
        <v>0.86899999999999999</v>
      </c>
    </row>
    <row r="13" spans="1:10" x14ac:dyDescent="0.1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15">
      <c r="A14" s="1">
        <f>0.869*1/(F5*H5)</f>
        <v>295.7731874854897</v>
      </c>
      <c r="B14" s="1">
        <f>H12*1/(F6*H5)</f>
        <v>49.567164505534265</v>
      </c>
      <c r="C14" s="1">
        <f>H12*1/(F7*H5)</f>
        <v>1926.9089683709688</v>
      </c>
      <c r="D14">
        <f>H12*1/(F8*H5)</f>
        <v>43.488315881910594</v>
      </c>
      <c r="E14">
        <f>H12*1/(F9*H5)</f>
        <v>43.488315881910594</v>
      </c>
      <c r="F14" s="1">
        <f>1/E2</f>
        <v>162.24829169596694</v>
      </c>
      <c r="H14" s="1">
        <f>A14+B14+C14+D14+E14+F14</f>
        <v>2521.4742438217813</v>
      </c>
    </row>
    <row r="15" spans="1:10" x14ac:dyDescent="0.1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15">
      <c r="A16" s="1">
        <f>(A14/H14)*100</f>
        <v>11.730168896636767</v>
      </c>
      <c r="B16" s="1">
        <f>(B14/H14)*100</f>
        <v>1.9658009447046998</v>
      </c>
      <c r="C16" s="1">
        <f>(C14/H14)*100</f>
        <v>76.419934611363146</v>
      </c>
      <c r="D16" s="1">
        <f>(D14/H14)*100</f>
        <v>1.7247178307875815</v>
      </c>
      <c r="E16" s="1">
        <f>(E14/H14)*100</f>
        <v>1.7247178307875815</v>
      </c>
      <c r="F16" s="1">
        <f>(F14/H14)*100</f>
        <v>6.4346598857202011</v>
      </c>
    </row>
    <row r="18" spans="1:7" x14ac:dyDescent="0.15">
      <c r="A18" s="1"/>
      <c r="B18" s="1"/>
      <c r="C18" s="1"/>
      <c r="D18" s="1"/>
      <c r="E18" s="1"/>
    </row>
    <row r="20" spans="1:7" x14ac:dyDescent="0.15">
      <c r="A20" s="1"/>
      <c r="B20" s="1"/>
      <c r="C20" s="1"/>
      <c r="D20" s="1"/>
      <c r="E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2026-08-24T06:00:04Z</dcterms:modified>
</cp:coreProperties>
</file>