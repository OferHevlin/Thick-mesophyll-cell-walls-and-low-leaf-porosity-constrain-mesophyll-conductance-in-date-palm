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t-lab\Desktop\עופר\anatomia\A2_bl6_g2_250726\"/>
    </mc:Choice>
  </mc:AlternateContent>
  <xr:revisionPtr revIDLastSave="0" documentId="8_{D4D949BD-AA7D-4E8C-9EFD-C3F7A8A16CDB}" xr6:coauthVersionLast="47" xr6:coauthVersionMax="47" xr10:uidLastSave="{00000000-0000-0000-0000-000000000000}"/>
  <bookViews>
    <workbookView xWindow="2520" yWindow="480" windowWidth="11580" windowHeight="1449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6" i="1"/>
  <c r="E5" i="1"/>
  <c r="E14" i="1" l="1"/>
  <c r="D14" i="1"/>
  <c r="E2" i="1"/>
  <c r="F2" i="1" s="1"/>
  <c r="B2" i="1"/>
  <c r="G9" i="1"/>
  <c r="G8" i="1"/>
  <c r="F6" i="1"/>
  <c r="B14" i="1" s="1"/>
  <c r="F7" i="1"/>
  <c r="G7" i="1" s="1"/>
  <c r="F5" i="1"/>
  <c r="A14" i="1" s="1"/>
  <c r="G6" i="1" l="1"/>
  <c r="G5" i="1"/>
  <c r="C14" i="1"/>
  <c r="F14" i="1"/>
  <c r="J5" i="1"/>
  <c r="I5" i="1"/>
  <c r="E12" i="1" s="1"/>
  <c r="D12" i="1"/>
  <c r="F12" i="1" l="1"/>
  <c r="G12" i="1" s="1"/>
  <c r="H14" i="1"/>
  <c r="D16" i="1" l="1"/>
  <c r="C16" i="1"/>
  <c r="A16" i="1"/>
  <c r="B16" i="1"/>
  <c r="E16" i="1"/>
  <c r="F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<sst xmlns="http://schemas.openxmlformats.org/spreadsheetml/2006/main" count="40" uniqueCount="33">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</sst>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H5" sqref="H5"/>
    </sheetView>
  </sheetViews>
  <sheetFormatPr defaultRowHeight="15" x14ac:dyDescent="0.2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25">
      <c r="A2">
        <v>0.10787011089374882</v>
      </c>
      <c r="B2">
        <f>125/1000000</f>
        <v>1.25E-4</v>
      </c>
      <c r="C2">
        <v>1.57</v>
      </c>
      <c r="D2" s="1">
        <v>1.5099999999999999E-5</v>
      </c>
      <c r="E2" s="1">
        <f>(D2*A2)/(B2*C2)</f>
        <v>8.2998149018884432E-3</v>
      </c>
      <c r="F2">
        <f>1/E2</f>
        <v>120.48461463549887</v>
      </c>
    </row>
    <row r="4" spans="1:10" x14ac:dyDescent="0.2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25">
      <c r="A5" s="1" t="s">
        <v>9</v>
      </c>
      <c r="B5" s="1">
        <v>1.79E-9</v>
      </c>
      <c r="C5">
        <v>1</v>
      </c>
      <c r="D5">
        <v>0.3</v>
      </c>
      <c r="E5">
        <f>1.191625/1000000</f>
        <v>1.191625E-6</v>
      </c>
      <c r="F5" s="1">
        <f>B5*C5*D5/E5</f>
        <v>4.5064512745200881E-4</v>
      </c>
      <c r="G5" s="1">
        <f>1/F5</f>
        <v>2219.0409683426442</v>
      </c>
      <c r="H5">
        <v>8.2771408760000007</v>
      </c>
      <c r="I5" s="1">
        <f>H5/J5</f>
        <v>6.2826332408901821E-4</v>
      </c>
      <c r="J5" s="1">
        <f>G5+G6+G7+G8+G9</f>
        <v>13174.636428128055</v>
      </c>
    </row>
    <row r="6" spans="1:10" x14ac:dyDescent="0.25">
      <c r="A6" t="s">
        <v>10</v>
      </c>
      <c r="B6" s="1">
        <v>1.79E-9</v>
      </c>
      <c r="C6">
        <v>1</v>
      </c>
      <c r="D6">
        <v>0.3</v>
      </c>
      <c r="E6">
        <f>0.08225/1000000</f>
        <v>8.2249999999999999E-8</v>
      </c>
      <c r="F6" s="1">
        <f>B6*C6*D6/E6</f>
        <v>6.5288753799392103E-3</v>
      </c>
      <c r="G6" s="1">
        <f t="shared" ref="G6:G7" si="0">1/F6</f>
        <v>153.16573556797019</v>
      </c>
    </row>
    <row r="7" spans="1:10" x14ac:dyDescent="0.25">
      <c r="A7" t="s">
        <v>11</v>
      </c>
      <c r="B7" s="1">
        <v>1.79E-9</v>
      </c>
      <c r="C7">
        <v>2.8000000000000001E-2</v>
      </c>
      <c r="D7">
        <v>1</v>
      </c>
      <c r="E7">
        <f>0.512777777777778/1000000</f>
        <v>5.12777777777778E-7</v>
      </c>
      <c r="F7" s="1">
        <f t="shared" ref="F7" si="1">B7*C7*D7/E7</f>
        <v>9.7742145178764857E-5</v>
      </c>
      <c r="G7" s="1">
        <f t="shared" si="0"/>
        <v>10231.001152788867</v>
      </c>
    </row>
    <row r="8" spans="1:10" x14ac:dyDescent="0.25">
      <c r="A8" t="s">
        <v>16</v>
      </c>
      <c r="F8">
        <v>3.5000000000000001E-3</v>
      </c>
      <c r="G8">
        <f>1/F8</f>
        <v>285.71428571428572</v>
      </c>
    </row>
    <row r="9" spans="1:10" x14ac:dyDescent="0.25">
      <c r="A9" t="s">
        <v>17</v>
      </c>
      <c r="F9">
        <v>3.5000000000000001E-3</v>
      </c>
      <c r="G9">
        <f>1/F9</f>
        <v>285.71428571428572</v>
      </c>
    </row>
    <row r="11" spans="1:10" x14ac:dyDescent="0.2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25">
      <c r="A12">
        <v>8.3140000000000001</v>
      </c>
      <c r="B12">
        <v>307.14999999999998</v>
      </c>
      <c r="C12">
        <v>2938</v>
      </c>
      <c r="D12">
        <f>1/E2</f>
        <v>120.48461463549887</v>
      </c>
      <c r="E12" s="1">
        <f>(A12*B12)/(C12*I5)</f>
        <v>1383.4613815000282</v>
      </c>
      <c r="F12" s="1">
        <f>1/(D12+E12)</f>
        <v>6.6491749209716012E-4</v>
      </c>
      <c r="G12" s="1">
        <f>F12*39.65</f>
        <v>2.6363978561652398E-2</v>
      </c>
      <c r="H12">
        <v>0.86899999999999999</v>
      </c>
    </row>
    <row r="13" spans="1:10" x14ac:dyDescent="0.2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25">
      <c r="A14" s="1">
        <f>0.869*1/(F5*H5)</f>
        <v>232.97254817555404</v>
      </c>
      <c r="B14" s="1">
        <f>H12*1/(F6*H5)</f>
        <v>16.080555617278357</v>
      </c>
      <c r="C14" s="1">
        <f>H12*1/(F7*H5)</f>
        <v>1074.1317726695563</v>
      </c>
      <c r="D14">
        <f>H12*1/(F8*H5)</f>
        <v>29.996555332969091</v>
      </c>
      <c r="E14">
        <f>H12*1/(F9*H5)</f>
        <v>29.996555332969091</v>
      </c>
      <c r="F14" s="1">
        <f>1/E2</f>
        <v>120.48461463549887</v>
      </c>
      <c r="H14" s="1">
        <f>A14+B14+C14+D14+E14+F14</f>
        <v>1503.6626017638259</v>
      </c>
    </row>
    <row r="15" spans="1:10" x14ac:dyDescent="0.2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25">
      <c r="A16" s="1">
        <f>(A14/H14)*100</f>
        <v>15.493671778647194</v>
      </c>
      <c r="B16" s="1">
        <f>(B14/H14)*100</f>
        <v>1.0694257873019883</v>
      </c>
      <c r="C16" s="1">
        <f>(C14/H14)*100</f>
        <v>71.434361099995343</v>
      </c>
      <c r="D16" s="1">
        <f>(D14/H14)*100</f>
        <v>1.9948993409680162</v>
      </c>
      <c r="E16" s="1">
        <f>(E14/H14)*100</f>
        <v>1.9948993409680162</v>
      </c>
      <c r="F16" s="1">
        <f>(F14/H14)*100</f>
        <v>8.0127426521194334</v>
      </c>
    </row>
    <row r="18" spans="1:5" x14ac:dyDescent="0.25">
      <c r="A18" s="1"/>
      <c r="B18" s="1"/>
      <c r="C18" s="1"/>
      <c r="D18" s="1"/>
      <c r="E18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2026-08-23T14:02:59Z</dcterms:modified>
</cp:coreProperties>
</file>