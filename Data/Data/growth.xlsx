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מדדי צמיחה\"/>
    </mc:Choice>
  </mc:AlternateContent>
  <xr:revisionPtr revIDLastSave="0" documentId="13_ncr:1_{A211F48E-203C-43C6-AAC9-FEE4A64CC936}" xr6:coauthVersionLast="47" xr6:coauthVersionMax="47" xr10:uidLastSave="{00000000-0000-0000-0000-000000000000}"/>
  <bookViews>
    <workbookView xWindow="6960" yWindow="255" windowWidth="21405" windowHeight="14310" xr2:uid="{B49EA288-9692-418D-B42A-7D564362D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L21" i="1"/>
  <c r="L2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4" i="1"/>
  <c r="L2" i="1"/>
  <c r="K2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<sst xmlns="http://schemas.openxmlformats.org/spreadsheetml/2006/main" count="39" uniqueCount="19">
  <si>
    <t>A</t>
  </si>
  <si>
    <t>B</t>
  </si>
  <si>
    <t>C</t>
  </si>
  <si>
    <t>D</t>
  </si>
  <si>
    <t>leaf</t>
  </si>
  <si>
    <t>leaf number</t>
  </si>
  <si>
    <t>room</t>
  </si>
  <si>
    <t>plant</t>
  </si>
  <si>
    <t>wet shoot</t>
  </si>
  <si>
    <t>wet root</t>
  </si>
  <si>
    <t>dry shoot</t>
  </si>
  <si>
    <t>dry root</t>
  </si>
  <si>
    <t>WC root</t>
  </si>
  <si>
    <t>WC shoot</t>
  </si>
  <si>
    <t>LA(m)</t>
  </si>
  <si>
    <t>LA</t>
  </si>
  <si>
    <t xml:space="preserve">leaf weight </t>
  </si>
  <si>
    <t>LMA</t>
  </si>
  <si>
    <t xml:space="preserve">total mass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</si>
</sst>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1" xfId="0" applyNumberFormat="1" applyFill="1" applyBorder="1"/>
    <xf numFmtId="0" fontId="0" fillId="0" borderId="1" xfId="0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29D2-412A-4C88-A6A5-FCA92D07FFA7}">
  <dimension ref="A1:O25"/>
  <sheetViews>
    <sheetView tabSelected="1" workbookViewId="0">
      <selection activeCell="H19" sqref="H19"/>
    </sheetView>
  </sheetViews>
  <sheetFormatPr defaultRowHeight="15" x14ac:dyDescent="0.25"/>
  <cols>
    <col min="1" max="1" width="15.7109375" bestFit="1" customWidth="1"/>
    <col min="2" max="2" width="12.28515625" bestFit="1" customWidth="1"/>
    <col min="4" max="4" width="8.140625" bestFit="1" customWidth="1"/>
    <col min="5" max="5" width="11.85546875" bestFit="1" customWidth="1"/>
    <col min="6" max="6" width="16.42578125" bestFit="1" customWidth="1"/>
    <col min="7" max="7" width="13.5703125" bestFit="1" customWidth="1"/>
    <col min="10" max="10" width="11.5703125" style="3" bestFit="1" customWidth="1"/>
    <col min="11" max="11" width="9.140625" style="3"/>
    <col min="13" max="13" width="11.42578125" bestFit="1" customWidth="1"/>
    <col min="15" max="15" width="10.42578125" bestFit="1" customWidth="1"/>
  </cols>
  <sheetData>
    <row r="1" spans="1:15" x14ac:dyDescent="0.25">
      <c r="A1" s="1" t="s">
        <v>11</v>
      </c>
      <c r="B1" s="1" t="s">
        <v>10</v>
      </c>
      <c r="C1" s="1" t="s">
        <v>15</v>
      </c>
      <c r="D1" s="1" t="s">
        <v>4</v>
      </c>
      <c r="E1" s="1" t="s">
        <v>5</v>
      </c>
      <c r="F1" s="1" t="s">
        <v>9</v>
      </c>
      <c r="G1" s="1" t="s">
        <v>8</v>
      </c>
      <c r="H1" s="1" t="s">
        <v>7</v>
      </c>
      <c r="I1" s="1" t="s">
        <v>6</v>
      </c>
      <c r="J1" s="4" t="s">
        <v>13</v>
      </c>
      <c r="K1" s="4" t="s">
        <v>12</v>
      </c>
      <c r="L1" s="5" t="s">
        <v>14</v>
      </c>
      <c r="M1" s="5" t="s">
        <v>16</v>
      </c>
      <c r="N1" s="5" t="s">
        <v>17</v>
      </c>
      <c r="O1" s="5" t="s">
        <v>18</v>
      </c>
    </row>
    <row r="2" spans="1:15" x14ac:dyDescent="0.25">
      <c r="A2" s="1">
        <v>100</v>
      </c>
      <c r="B2" s="1">
        <v>420</v>
      </c>
      <c r="C2" s="1">
        <v>6443.1850000000004</v>
      </c>
      <c r="D2" s="1">
        <v>130.559</v>
      </c>
      <c r="E2" s="1">
        <v>12</v>
      </c>
      <c r="F2" s="1">
        <v>320</v>
      </c>
      <c r="G2" s="1">
        <v>1420</v>
      </c>
      <c r="H2" s="2">
        <v>1</v>
      </c>
      <c r="I2" s="2" t="s">
        <v>0</v>
      </c>
      <c r="J2" s="6">
        <f>((G2-B2)/G2)*100</f>
        <v>70.422535211267601</v>
      </c>
      <c r="K2" s="6">
        <f>((F2-A2)/F2)*100</f>
        <v>68.75</v>
      </c>
      <c r="L2" s="1">
        <f>C2/10000</f>
        <v>0.64431850000000002</v>
      </c>
      <c r="M2" s="1">
        <v>360</v>
      </c>
      <c r="N2" s="1">
        <f>M2/L2</f>
        <v>558.72988281416724</v>
      </c>
      <c r="O2" s="1">
        <f>B2+A2</f>
        <v>520</v>
      </c>
    </row>
    <row r="3" spans="1:15" x14ac:dyDescent="0.25">
      <c r="A3" s="1">
        <v>100</v>
      </c>
      <c r="B3" s="1">
        <v>440</v>
      </c>
      <c r="C3" s="1">
        <v>5511.6639999999998</v>
      </c>
      <c r="D3" s="1">
        <v>122.55200000000001</v>
      </c>
      <c r="E3" s="1">
        <v>11</v>
      </c>
      <c r="F3" s="1">
        <v>400</v>
      </c>
      <c r="G3" s="1">
        <v>1200</v>
      </c>
      <c r="H3" s="2">
        <v>2</v>
      </c>
      <c r="I3" s="2" t="s">
        <v>0</v>
      </c>
      <c r="J3" s="6">
        <f t="shared" ref="J3:J25" si="0">((G3-B3)/G3)*100</f>
        <v>63.333333333333329</v>
      </c>
      <c r="K3" s="6">
        <f t="shared" ref="K3:K24" si="1">((F3-A3)/F3)*100</f>
        <v>75</v>
      </c>
      <c r="L3" s="1">
        <f t="shared" ref="L3:L24" si="2">C3/10000</f>
        <v>0.55116639999999995</v>
      </c>
      <c r="M3" s="1">
        <v>360</v>
      </c>
      <c r="N3" s="1">
        <f t="shared" ref="N3:N25" si="3">M3/L3</f>
        <v>653.16027972677591</v>
      </c>
      <c r="O3" s="1">
        <f t="shared" ref="O3:O25" si="4">B3+A3</f>
        <v>540</v>
      </c>
    </row>
    <row r="4" spans="1:15" x14ac:dyDescent="0.25">
      <c r="A4" s="1">
        <v>100</v>
      </c>
      <c r="B4" s="1">
        <v>400</v>
      </c>
      <c r="C4" s="1">
        <v>5577.7039999999997</v>
      </c>
      <c r="D4" s="1">
        <v>109</v>
      </c>
      <c r="E4" s="1">
        <v>12</v>
      </c>
      <c r="F4" s="1">
        <v>400</v>
      </c>
      <c r="G4" s="1">
        <v>1180</v>
      </c>
      <c r="H4" s="2">
        <v>3</v>
      </c>
      <c r="I4" s="2" t="s">
        <v>0</v>
      </c>
      <c r="J4" s="6">
        <f t="shared" si="0"/>
        <v>66.101694915254242</v>
      </c>
      <c r="K4" s="6">
        <f t="shared" si="1"/>
        <v>75</v>
      </c>
      <c r="L4" s="1">
        <f t="shared" si="2"/>
        <v>0.5577704</v>
      </c>
      <c r="M4" s="1">
        <v>360</v>
      </c>
      <c r="N4" s="1">
        <f t="shared" si="3"/>
        <v>645.42686381349745</v>
      </c>
      <c r="O4" s="1">
        <f t="shared" si="4"/>
        <v>500</v>
      </c>
    </row>
    <row r="5" spans="1:15" x14ac:dyDescent="0.25">
      <c r="A5" s="1">
        <v>100</v>
      </c>
      <c r="B5" s="1">
        <v>460</v>
      </c>
      <c r="C5" s="1">
        <v>6068.473</v>
      </c>
      <c r="D5" s="1">
        <v>106.804</v>
      </c>
      <c r="E5" s="1">
        <v>10</v>
      </c>
      <c r="F5" s="1">
        <v>380</v>
      </c>
      <c r="G5" s="1">
        <v>1380</v>
      </c>
      <c r="H5" s="2">
        <v>4</v>
      </c>
      <c r="I5" s="2" t="s">
        <v>0</v>
      </c>
      <c r="J5" s="6">
        <f t="shared" si="0"/>
        <v>66.666666666666657</v>
      </c>
      <c r="K5" s="6">
        <f t="shared" si="1"/>
        <v>73.68421052631578</v>
      </c>
      <c r="L5" s="1">
        <f t="shared" si="2"/>
        <v>0.60684729999999998</v>
      </c>
      <c r="M5" s="1">
        <v>260</v>
      </c>
      <c r="N5" s="1">
        <f t="shared" si="3"/>
        <v>428.44386058898181</v>
      </c>
      <c r="O5" s="1">
        <f t="shared" si="4"/>
        <v>560</v>
      </c>
    </row>
    <row r="6" spans="1:15" x14ac:dyDescent="0.25">
      <c r="A6" s="1">
        <v>80</v>
      </c>
      <c r="B6" s="1">
        <v>440</v>
      </c>
      <c r="C6" s="1">
        <v>6294.0280000000002</v>
      </c>
      <c r="D6" s="1">
        <v>125.813</v>
      </c>
      <c r="E6" s="1">
        <v>12</v>
      </c>
      <c r="F6" s="1">
        <v>360</v>
      </c>
      <c r="G6" s="1">
        <v>1280</v>
      </c>
      <c r="H6" s="2">
        <v>5</v>
      </c>
      <c r="I6" s="2" t="s">
        <v>0</v>
      </c>
      <c r="J6" s="6">
        <f t="shared" si="0"/>
        <v>65.625</v>
      </c>
      <c r="K6" s="6">
        <f t="shared" si="1"/>
        <v>77.777777777777786</v>
      </c>
      <c r="L6" s="1">
        <f t="shared" si="2"/>
        <v>0.62940280000000004</v>
      </c>
      <c r="M6" s="1">
        <v>400</v>
      </c>
      <c r="N6" s="1">
        <f t="shared" si="3"/>
        <v>635.52307044074155</v>
      </c>
      <c r="O6" s="1">
        <f t="shared" si="4"/>
        <v>520</v>
      </c>
    </row>
    <row r="7" spans="1:15" x14ac:dyDescent="0.25">
      <c r="A7" s="1">
        <v>100</v>
      </c>
      <c r="B7" s="1">
        <v>540</v>
      </c>
      <c r="C7" s="1">
        <v>7073.5349999999999</v>
      </c>
      <c r="D7" s="1">
        <v>122.33199999999999</v>
      </c>
      <c r="E7" s="1">
        <v>11</v>
      </c>
      <c r="F7" s="1">
        <v>440</v>
      </c>
      <c r="G7" s="1">
        <v>1440</v>
      </c>
      <c r="H7" s="2">
        <v>6</v>
      </c>
      <c r="I7" s="2" t="s">
        <v>0</v>
      </c>
      <c r="J7" s="6">
        <f t="shared" si="0"/>
        <v>62.5</v>
      </c>
      <c r="K7" s="6">
        <f t="shared" si="1"/>
        <v>77.272727272727266</v>
      </c>
      <c r="L7" s="1">
        <f t="shared" si="2"/>
        <v>0.70735349999999997</v>
      </c>
      <c r="M7" s="1">
        <v>320</v>
      </c>
      <c r="N7" s="1">
        <f t="shared" si="3"/>
        <v>452.39049499295618</v>
      </c>
      <c r="O7" s="1">
        <f t="shared" si="4"/>
        <v>640</v>
      </c>
    </row>
    <row r="8" spans="1:15" x14ac:dyDescent="0.25">
      <c r="A8" s="1">
        <v>160</v>
      </c>
      <c r="B8" s="1">
        <v>660</v>
      </c>
      <c r="C8" s="1">
        <v>6354.2520000000004</v>
      </c>
      <c r="D8" s="1">
        <v>107.483</v>
      </c>
      <c r="E8" s="1">
        <v>11</v>
      </c>
      <c r="F8" s="1">
        <v>560</v>
      </c>
      <c r="G8" s="1">
        <v>1600</v>
      </c>
      <c r="H8" s="2">
        <v>1</v>
      </c>
      <c r="I8" s="2" t="s">
        <v>1</v>
      </c>
      <c r="J8" s="6">
        <f t="shared" si="0"/>
        <v>58.75</v>
      </c>
      <c r="K8" s="6">
        <f t="shared" si="1"/>
        <v>71.428571428571431</v>
      </c>
      <c r="L8" s="1">
        <f t="shared" si="2"/>
        <v>0.63542520000000002</v>
      </c>
      <c r="M8" s="1">
        <v>420</v>
      </c>
      <c r="N8" s="1">
        <f t="shared" si="3"/>
        <v>660.97472999182276</v>
      </c>
      <c r="O8" s="1">
        <f t="shared" si="4"/>
        <v>820</v>
      </c>
    </row>
    <row r="9" spans="1:15" x14ac:dyDescent="0.25">
      <c r="A9" s="1">
        <v>120</v>
      </c>
      <c r="B9" s="1">
        <v>520</v>
      </c>
      <c r="C9" s="1">
        <v>7915.5</v>
      </c>
      <c r="D9" s="1">
        <v>112.04900000000001</v>
      </c>
      <c r="E9" s="1">
        <v>12</v>
      </c>
      <c r="F9" s="1">
        <v>480</v>
      </c>
      <c r="G9" s="1">
        <v>1480</v>
      </c>
      <c r="H9" s="2">
        <v>2</v>
      </c>
      <c r="I9" s="2" t="s">
        <v>1</v>
      </c>
      <c r="J9" s="6">
        <f t="shared" si="0"/>
        <v>64.86486486486487</v>
      </c>
      <c r="K9" s="6">
        <f t="shared" si="1"/>
        <v>75</v>
      </c>
      <c r="L9" s="1">
        <f t="shared" si="2"/>
        <v>0.79154999999999998</v>
      </c>
      <c r="M9" s="1">
        <v>420</v>
      </c>
      <c r="N9" s="1">
        <f t="shared" si="3"/>
        <v>530.6045101383362</v>
      </c>
      <c r="O9" s="1">
        <f t="shared" si="4"/>
        <v>640</v>
      </c>
    </row>
    <row r="10" spans="1:15" x14ac:dyDescent="0.25">
      <c r="A10" s="1">
        <v>100</v>
      </c>
      <c r="B10" s="1">
        <v>620</v>
      </c>
      <c r="C10" s="1">
        <v>6936.4359999999997</v>
      </c>
      <c r="D10" s="1">
        <v>104.22199999999999</v>
      </c>
      <c r="E10" s="1">
        <v>12</v>
      </c>
      <c r="F10" s="1">
        <v>400</v>
      </c>
      <c r="G10" s="1">
        <v>1540</v>
      </c>
      <c r="H10" s="2">
        <v>3</v>
      </c>
      <c r="I10" s="2" t="s">
        <v>1</v>
      </c>
      <c r="J10" s="6">
        <f t="shared" si="0"/>
        <v>59.740259740259738</v>
      </c>
      <c r="K10" s="6">
        <f t="shared" si="1"/>
        <v>75</v>
      </c>
      <c r="L10" s="1">
        <f t="shared" si="2"/>
        <v>0.69364359999999992</v>
      </c>
      <c r="M10" s="1">
        <v>420</v>
      </c>
      <c r="N10" s="1">
        <f t="shared" si="3"/>
        <v>605.49827029327457</v>
      </c>
      <c r="O10" s="1">
        <f t="shared" si="4"/>
        <v>720</v>
      </c>
    </row>
    <row r="11" spans="1:15" x14ac:dyDescent="0.25">
      <c r="A11" s="1">
        <v>140</v>
      </c>
      <c r="B11" s="1">
        <v>660</v>
      </c>
      <c r="C11" s="1">
        <v>7260.7030000000004</v>
      </c>
      <c r="D11" s="1">
        <v>101.982</v>
      </c>
      <c r="E11" s="1">
        <v>11</v>
      </c>
      <c r="F11" s="1">
        <v>480</v>
      </c>
      <c r="G11" s="1">
        <v>1680</v>
      </c>
      <c r="H11" s="2">
        <v>4</v>
      </c>
      <c r="I11" s="2" t="s">
        <v>1</v>
      </c>
      <c r="J11" s="6">
        <f t="shared" si="0"/>
        <v>60.714285714285708</v>
      </c>
      <c r="K11" s="6">
        <f t="shared" si="1"/>
        <v>70.833333333333343</v>
      </c>
      <c r="L11" s="1">
        <f t="shared" si="2"/>
        <v>0.72607030000000006</v>
      </c>
      <c r="M11" s="1">
        <v>380</v>
      </c>
      <c r="N11" s="1">
        <f t="shared" si="3"/>
        <v>523.3652994758221</v>
      </c>
      <c r="O11" s="1">
        <f t="shared" si="4"/>
        <v>800</v>
      </c>
    </row>
    <row r="12" spans="1:15" x14ac:dyDescent="0.25">
      <c r="A12" s="1">
        <v>180</v>
      </c>
      <c r="B12" s="1">
        <v>560</v>
      </c>
      <c r="C12" s="1">
        <v>5474.7110000000002</v>
      </c>
      <c r="D12" s="1">
        <v>82.87</v>
      </c>
      <c r="E12" s="1">
        <v>10</v>
      </c>
      <c r="F12" s="1">
        <v>540</v>
      </c>
      <c r="G12" s="1">
        <v>1500</v>
      </c>
      <c r="H12" s="2">
        <v>5</v>
      </c>
      <c r="I12" s="2" t="s">
        <v>1</v>
      </c>
      <c r="J12" s="6">
        <f t="shared" si="0"/>
        <v>62.666666666666671</v>
      </c>
      <c r="K12" s="6">
        <f t="shared" si="1"/>
        <v>66.666666666666657</v>
      </c>
      <c r="L12" s="1">
        <f t="shared" si="2"/>
        <v>0.54747109999999999</v>
      </c>
      <c r="M12" s="1">
        <v>360</v>
      </c>
      <c r="N12" s="1">
        <f t="shared" si="3"/>
        <v>657.56895660793782</v>
      </c>
      <c r="O12" s="1">
        <f t="shared" si="4"/>
        <v>740</v>
      </c>
    </row>
    <row r="13" spans="1:15" x14ac:dyDescent="0.25">
      <c r="A13" s="1">
        <v>100</v>
      </c>
      <c r="B13" s="1">
        <v>700</v>
      </c>
      <c r="C13" s="1">
        <v>6091.6490000000003</v>
      </c>
      <c r="D13" s="1">
        <v>92.561999999999998</v>
      </c>
      <c r="E13" s="1">
        <v>10</v>
      </c>
      <c r="F13" s="1">
        <v>380</v>
      </c>
      <c r="G13" s="1">
        <v>1580</v>
      </c>
      <c r="H13" s="2">
        <v>6</v>
      </c>
      <c r="I13" s="2" t="s">
        <v>1</v>
      </c>
      <c r="J13" s="6">
        <f t="shared" si="0"/>
        <v>55.696202531645568</v>
      </c>
      <c r="K13" s="6">
        <f t="shared" si="1"/>
        <v>73.68421052631578</v>
      </c>
      <c r="L13" s="1">
        <f t="shared" si="2"/>
        <v>0.60916490000000001</v>
      </c>
      <c r="M13" s="1">
        <v>320</v>
      </c>
      <c r="N13" s="1">
        <f t="shared" si="3"/>
        <v>525.30932100651239</v>
      </c>
      <c r="O13" s="1">
        <f t="shared" si="4"/>
        <v>800</v>
      </c>
    </row>
    <row r="14" spans="1:15" x14ac:dyDescent="0.25">
      <c r="A14" s="1">
        <v>80</v>
      </c>
      <c r="B14" s="1">
        <v>440</v>
      </c>
      <c r="C14" s="1">
        <v>2654.9479999999999</v>
      </c>
      <c r="D14" s="1">
        <v>72.650000000000006</v>
      </c>
      <c r="E14" s="1">
        <v>8</v>
      </c>
      <c r="F14" s="1">
        <v>300</v>
      </c>
      <c r="G14" s="1">
        <v>1040</v>
      </c>
      <c r="H14" s="2">
        <v>1</v>
      </c>
      <c r="I14" s="2" t="s">
        <v>2</v>
      </c>
      <c r="J14" s="6">
        <f t="shared" si="0"/>
        <v>57.692307692307686</v>
      </c>
      <c r="K14" s="6">
        <f t="shared" si="1"/>
        <v>73.333333333333329</v>
      </c>
      <c r="L14" s="1">
        <f t="shared" si="2"/>
        <v>0.26549479999999998</v>
      </c>
      <c r="M14" s="1">
        <v>240</v>
      </c>
      <c r="N14" s="1">
        <f t="shared" si="3"/>
        <v>903.97250718281498</v>
      </c>
      <c r="O14" s="1">
        <f t="shared" si="4"/>
        <v>520</v>
      </c>
    </row>
    <row r="15" spans="1:15" x14ac:dyDescent="0.25">
      <c r="A15" s="1">
        <v>80</v>
      </c>
      <c r="B15" s="1">
        <v>500</v>
      </c>
      <c r="C15" s="1">
        <v>3516.2240000000002</v>
      </c>
      <c r="D15" s="1">
        <v>49.609000000000002</v>
      </c>
      <c r="E15" s="1">
        <v>9</v>
      </c>
      <c r="F15" s="1">
        <v>400</v>
      </c>
      <c r="G15" s="1">
        <v>1160</v>
      </c>
      <c r="H15" s="2">
        <v>2</v>
      </c>
      <c r="I15" s="2" t="s">
        <v>2</v>
      </c>
      <c r="J15" s="6">
        <f t="shared" si="0"/>
        <v>56.896551724137936</v>
      </c>
      <c r="K15" s="6">
        <f t="shared" si="1"/>
        <v>80</v>
      </c>
      <c r="L15" s="1">
        <f t="shared" si="2"/>
        <v>0.3516224</v>
      </c>
      <c r="M15" s="1">
        <v>260</v>
      </c>
      <c r="N15" s="1">
        <f t="shared" si="3"/>
        <v>739.42956990225878</v>
      </c>
      <c r="O15" s="1">
        <f t="shared" si="4"/>
        <v>580</v>
      </c>
    </row>
    <row r="16" spans="1:15" x14ac:dyDescent="0.25">
      <c r="A16" s="1">
        <v>80</v>
      </c>
      <c r="B16" s="1">
        <v>380</v>
      </c>
      <c r="C16" s="1">
        <v>3229.9029999999998</v>
      </c>
      <c r="D16" s="1">
        <v>75.721999999999994</v>
      </c>
      <c r="E16" s="1">
        <v>8</v>
      </c>
      <c r="F16" s="1">
        <v>340</v>
      </c>
      <c r="G16" s="1">
        <v>900</v>
      </c>
      <c r="H16" s="2">
        <v>3</v>
      </c>
      <c r="I16" s="2" t="s">
        <v>2</v>
      </c>
      <c r="J16" s="6">
        <f t="shared" si="0"/>
        <v>57.777777777777771</v>
      </c>
      <c r="K16" s="6">
        <f t="shared" si="1"/>
        <v>76.470588235294116</v>
      </c>
      <c r="L16" s="1">
        <f t="shared" si="2"/>
        <v>0.32299029999999995</v>
      </c>
      <c r="M16" s="1">
        <v>240</v>
      </c>
      <c r="N16" s="1">
        <f t="shared" si="3"/>
        <v>743.05637042350816</v>
      </c>
      <c r="O16" s="1">
        <f t="shared" si="4"/>
        <v>460</v>
      </c>
    </row>
    <row r="17" spans="1:15" x14ac:dyDescent="0.25">
      <c r="A17" s="1">
        <v>80</v>
      </c>
      <c r="B17" s="1">
        <v>440</v>
      </c>
      <c r="C17" s="1">
        <v>3048.998</v>
      </c>
      <c r="D17" s="1">
        <v>53.735999999999997</v>
      </c>
      <c r="E17" s="1">
        <v>8</v>
      </c>
      <c r="F17" s="1">
        <v>320</v>
      </c>
      <c r="G17" s="1">
        <v>1040</v>
      </c>
      <c r="H17" s="2">
        <v>4</v>
      </c>
      <c r="I17" s="2" t="s">
        <v>2</v>
      </c>
      <c r="J17" s="6">
        <f t="shared" si="0"/>
        <v>57.692307692307686</v>
      </c>
      <c r="K17" s="6">
        <f t="shared" si="1"/>
        <v>75</v>
      </c>
      <c r="L17" s="1">
        <f t="shared" si="2"/>
        <v>0.3048998</v>
      </c>
      <c r="M17" s="1">
        <v>260</v>
      </c>
      <c r="N17" s="1">
        <f t="shared" si="3"/>
        <v>852.73916217721364</v>
      </c>
      <c r="O17" s="1">
        <f t="shared" si="4"/>
        <v>520</v>
      </c>
    </row>
    <row r="18" spans="1:15" x14ac:dyDescent="0.25">
      <c r="A18" s="1">
        <v>80</v>
      </c>
      <c r="B18" s="1">
        <v>320</v>
      </c>
      <c r="C18" s="1">
        <v>3018.9940000000001</v>
      </c>
      <c r="D18" s="1">
        <v>60.569000000000003</v>
      </c>
      <c r="E18" s="1">
        <v>9</v>
      </c>
      <c r="F18" s="1">
        <v>400</v>
      </c>
      <c r="G18" s="1">
        <v>820</v>
      </c>
      <c r="H18" s="2">
        <v>5</v>
      </c>
      <c r="I18" s="2" t="s">
        <v>2</v>
      </c>
      <c r="J18" s="6">
        <f t="shared" si="0"/>
        <v>60.975609756097562</v>
      </c>
      <c r="K18" s="6">
        <f t="shared" si="1"/>
        <v>80</v>
      </c>
      <c r="L18" s="1">
        <f t="shared" si="2"/>
        <v>0.30189940000000004</v>
      </c>
      <c r="M18" s="1">
        <v>200</v>
      </c>
      <c r="N18" s="1">
        <f t="shared" si="3"/>
        <v>662.47233349917212</v>
      </c>
      <c r="O18" s="1">
        <f t="shared" si="4"/>
        <v>400</v>
      </c>
    </row>
    <row r="19" spans="1:15" x14ac:dyDescent="0.25">
      <c r="A19" s="1">
        <v>60</v>
      </c>
      <c r="B19" s="1">
        <v>400</v>
      </c>
      <c r="C19" s="1">
        <v>3015.34</v>
      </c>
      <c r="D19" s="1">
        <v>49.017000000000003</v>
      </c>
      <c r="E19" s="1">
        <v>9</v>
      </c>
      <c r="F19" s="1">
        <v>300</v>
      </c>
      <c r="G19" s="1">
        <v>820</v>
      </c>
      <c r="H19" s="2">
        <v>6</v>
      </c>
      <c r="I19" s="2" t="s">
        <v>2</v>
      </c>
      <c r="J19" s="6">
        <f t="shared" si="0"/>
        <v>51.219512195121951</v>
      </c>
      <c r="K19" s="6">
        <f t="shared" si="1"/>
        <v>80</v>
      </c>
      <c r="L19" s="1">
        <f t="shared" si="2"/>
        <v>0.30153400000000002</v>
      </c>
      <c r="M19" s="1">
        <v>220</v>
      </c>
      <c r="N19" s="1">
        <f t="shared" si="3"/>
        <v>729.60263187567568</v>
      </c>
      <c r="O19" s="1">
        <f t="shared" si="4"/>
        <v>460</v>
      </c>
    </row>
    <row r="20" spans="1:15" x14ac:dyDescent="0.25">
      <c r="A20" s="1">
        <v>40</v>
      </c>
      <c r="B20" s="1">
        <v>180</v>
      </c>
      <c r="C20" s="1">
        <v>1431.636</v>
      </c>
      <c r="D20" s="1">
        <v>44.9</v>
      </c>
      <c r="E20" s="1">
        <v>6</v>
      </c>
      <c r="F20" s="1">
        <v>220</v>
      </c>
      <c r="G20" s="1">
        <v>440</v>
      </c>
      <c r="H20" s="2">
        <v>1</v>
      </c>
      <c r="I20" s="2" t="s">
        <v>3</v>
      </c>
      <c r="J20" s="6">
        <f t="shared" si="0"/>
        <v>59.090909090909093</v>
      </c>
      <c r="K20" s="6">
        <f t="shared" si="1"/>
        <v>81.818181818181827</v>
      </c>
      <c r="L20" s="1">
        <f t="shared" si="2"/>
        <v>0.1431636</v>
      </c>
      <c r="M20" s="1">
        <v>100</v>
      </c>
      <c r="N20" s="1">
        <f t="shared" si="3"/>
        <v>698.50157442254874</v>
      </c>
      <c r="O20" s="1">
        <f t="shared" si="4"/>
        <v>220</v>
      </c>
    </row>
    <row r="21" spans="1:15" x14ac:dyDescent="0.25">
      <c r="A21" s="1">
        <v>20</v>
      </c>
      <c r="B21" s="1">
        <v>140</v>
      </c>
      <c r="C21" s="1">
        <v>1112.662</v>
      </c>
      <c r="D21" s="1">
        <v>42.040999999999997</v>
      </c>
      <c r="E21" s="1">
        <v>7</v>
      </c>
      <c r="F21" s="1">
        <v>160</v>
      </c>
      <c r="G21" s="1">
        <v>360</v>
      </c>
      <c r="H21" s="2">
        <v>2</v>
      </c>
      <c r="I21" s="2" t="s">
        <v>3</v>
      </c>
      <c r="J21" s="6">
        <f t="shared" si="0"/>
        <v>61.111111111111114</v>
      </c>
      <c r="K21" s="6">
        <f t="shared" si="1"/>
        <v>87.5</v>
      </c>
      <c r="L21" s="1">
        <f>C21/10000</f>
        <v>0.11126620000000001</v>
      </c>
      <c r="M21" s="1">
        <v>80</v>
      </c>
      <c r="N21" s="1">
        <f t="shared" si="3"/>
        <v>718.99642479027762</v>
      </c>
      <c r="O21" s="1">
        <f t="shared" si="4"/>
        <v>160</v>
      </c>
    </row>
    <row r="22" spans="1:15" x14ac:dyDescent="0.25">
      <c r="A22" s="1">
        <v>40</v>
      </c>
      <c r="B22" s="1">
        <v>220</v>
      </c>
      <c r="C22" s="1">
        <v>1620.8309999999999</v>
      </c>
      <c r="D22" s="1">
        <v>50.7</v>
      </c>
      <c r="E22" s="1">
        <v>6</v>
      </c>
      <c r="F22" s="1">
        <v>220</v>
      </c>
      <c r="G22" s="1">
        <v>520</v>
      </c>
      <c r="H22" s="2">
        <v>3</v>
      </c>
      <c r="I22" s="2" t="s">
        <v>3</v>
      </c>
      <c r="J22" s="6">
        <f t="shared" si="0"/>
        <v>57.692307692307686</v>
      </c>
      <c r="K22" s="6">
        <f t="shared" si="1"/>
        <v>81.818181818181827</v>
      </c>
      <c r="L22" s="1">
        <f t="shared" si="2"/>
        <v>0.16208309999999998</v>
      </c>
      <c r="M22" s="1">
        <v>120</v>
      </c>
      <c r="N22" s="1">
        <f t="shared" si="3"/>
        <v>740.36096298750465</v>
      </c>
      <c r="O22" s="1">
        <f t="shared" si="4"/>
        <v>260</v>
      </c>
    </row>
    <row r="23" spans="1:15" x14ac:dyDescent="0.25">
      <c r="A23" s="1">
        <v>40</v>
      </c>
      <c r="B23" s="1">
        <v>160</v>
      </c>
      <c r="C23" s="1">
        <v>1169.2159999999999</v>
      </c>
      <c r="D23" s="1">
        <v>50.57</v>
      </c>
      <c r="E23" s="1">
        <v>5</v>
      </c>
      <c r="F23" s="1">
        <v>240</v>
      </c>
      <c r="G23" s="1">
        <v>420</v>
      </c>
      <c r="H23" s="2">
        <v>4</v>
      </c>
      <c r="I23" s="2" t="s">
        <v>3</v>
      </c>
      <c r="J23" s="6">
        <f t="shared" si="0"/>
        <v>61.904761904761905</v>
      </c>
      <c r="K23" s="6">
        <f t="shared" si="1"/>
        <v>83.333333333333343</v>
      </c>
      <c r="L23" s="1">
        <f t="shared" si="2"/>
        <v>0.11692159999999999</v>
      </c>
      <c r="M23" s="1">
        <v>100</v>
      </c>
      <c r="N23" s="1">
        <f t="shared" si="3"/>
        <v>855.27396135530148</v>
      </c>
      <c r="O23" s="1">
        <f t="shared" si="4"/>
        <v>200</v>
      </c>
    </row>
    <row r="24" spans="1:15" x14ac:dyDescent="0.25">
      <c r="A24" s="1">
        <v>40</v>
      </c>
      <c r="B24" s="1">
        <v>140</v>
      </c>
      <c r="C24" s="1">
        <v>1341.1859999999999</v>
      </c>
      <c r="D24" s="1">
        <v>40.957000000000001</v>
      </c>
      <c r="E24" s="1">
        <v>6</v>
      </c>
      <c r="F24" s="1">
        <v>200</v>
      </c>
      <c r="G24" s="1">
        <v>380</v>
      </c>
      <c r="H24" s="2">
        <v>5</v>
      </c>
      <c r="I24" s="2" t="s">
        <v>3</v>
      </c>
      <c r="J24" s="6">
        <f t="shared" si="0"/>
        <v>63.157894736842103</v>
      </c>
      <c r="K24" s="6">
        <f t="shared" si="1"/>
        <v>80</v>
      </c>
      <c r="L24" s="1">
        <f t="shared" si="2"/>
        <v>0.1341186</v>
      </c>
      <c r="M24" s="1">
        <v>80</v>
      </c>
      <c r="N24" s="1">
        <f t="shared" si="3"/>
        <v>596.48698987314208</v>
      </c>
      <c r="O24" s="1">
        <f t="shared" si="4"/>
        <v>180</v>
      </c>
    </row>
    <row r="25" spans="1:15" x14ac:dyDescent="0.25">
      <c r="A25" s="1">
        <v>40</v>
      </c>
      <c r="B25" s="1">
        <v>180</v>
      </c>
      <c r="C25" s="1">
        <v>1675.7560000000001</v>
      </c>
      <c r="D25" s="1">
        <v>46.738999999999997</v>
      </c>
      <c r="E25" s="1">
        <v>7</v>
      </c>
      <c r="F25" s="1">
        <v>300</v>
      </c>
      <c r="G25" s="1">
        <v>500</v>
      </c>
      <c r="H25" s="2">
        <v>6</v>
      </c>
      <c r="I25" s="2" t="s">
        <v>3</v>
      </c>
      <c r="J25" s="6">
        <f t="shared" si="0"/>
        <v>64</v>
      </c>
      <c r="K25" s="6">
        <f>((F25-A25)/F25)*100</f>
        <v>86.666666666666671</v>
      </c>
      <c r="L25" s="1">
        <f>C25/10000</f>
        <v>0.16757560000000002</v>
      </c>
      <c r="M25" s="1">
        <v>100</v>
      </c>
      <c r="N25" s="1">
        <f t="shared" si="3"/>
        <v>596.74558825986594</v>
      </c>
      <c r="O25" s="1">
        <f t="shared" si="4"/>
        <v>220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cp:lastPrinted>2026-04-26T10:16:11Z</cp:lastPrinted>
  <dcterms:created xsi:type="dcterms:W3CDTF">2026-04-13T07:11:15Z</dcterms:created>
  <dcterms:modified xsi:type="dcterms:W3CDTF">2026-05-18T12:51:23Z</dcterms:modified>
</cp:coreProperties>
</file>